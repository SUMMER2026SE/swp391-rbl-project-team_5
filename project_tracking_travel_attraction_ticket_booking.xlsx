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Project Tracking" sheetId="1" r:id="rId1"/>
    <sheet name="Lists" sheetId="2" r:id="rId2"/>
    <sheet name="Dashboa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<sst xmlns="http://schemas.openxmlformats.org/spreadsheetml/2006/main" count="535" uniqueCount="175">
  <si>
    <t>Total Project Tracking_TEAM_5</t>
  </si>
  <si>
    <t>Travel Attraction Ticket Booking Platform | Information in columns A-E is initialized from project_tracking.docx; columns F-J are used by the team to manage progress at the end of each SWP development iteration.</t>
  </si>
  <si>
    <t>#</t>
  </si>
  <si>
    <t>Screen/Function</t>
  </si>
  <si>
    <t>Feature</t>
  </si>
  <si>
    <t>Actor</t>
  </si>
  <si>
    <t>Screen/Function Description</t>
  </si>
  <si>
    <t>In Charge</t>
  </si>
  <si>
    <t>Status</t>
  </si>
  <si>
    <t>Actual</t>
  </si>
  <si>
    <t>Updated</t>
  </si>
  <si>
    <t>Update Details</t>
  </si>
  <si>
    <t>Register Screen</t>
  </si>
  <si>
    <t>Authentication and Profile Management</t>
  </si>
  <si>
    <t>Guest</t>
  </si>
  <si>
    <t>This screen allows Guests to register a new account by entering required information such as full name, email, phone number, and password. It supports the Register Account use case.</t>
  </si>
  <si>
    <t>Như</t>
  </si>
  <si>
    <t>To Do</t>
  </si>
  <si>
    <t>iter1</t>
  </si>
  <si>
    <t>none</t>
  </si>
  <si>
    <t>Initial SWP plan: build UI, validation, authentication API, role-based access control, database mapping, and unit/integration tests.</t>
  </si>
  <si>
    <t>Email Verification Screen</t>
  </si>
  <si>
    <t>Guest, Notification Service</t>
  </si>
  <si>
    <t>This screen allows Guests to verify their account by entering the verification code sent by the Notification Service. It supports the Send Verification Code use case.</t>
  </si>
  <si>
    <t>Sign in Screen</t>
  </si>
  <si>
    <t>Guest, Customer, Attraction Partner, Admin</t>
  </si>
  <si>
    <t>This screen allows Guests, Customers, Attraction Partners, and Admins to log in to the system using valid credentials. It supports the Login use case.</t>
  </si>
  <si>
    <t>Trần Hoàng Anh</t>
  </si>
  <si>
    <t>Google Sign in Screen</t>
  </si>
  <si>
    <t>Guest, Customer, Google Authentication Service</t>
  </si>
  <si>
    <t>This screen allows Guests or Customers to sign in using a Google account through Google Authentication Service. It supports the Login with Google use case.</t>
  </si>
  <si>
    <t>Phú</t>
  </si>
  <si>
    <t>Forgot Password Screen</t>
  </si>
  <si>
    <t>Guest, Customer, Attraction Partner, Admin, Notification Service</t>
  </si>
  <si>
    <t>This screen allows users to request a password reset link or verification code when they cannot remember their password. It supports the Forgot Password use case.</t>
  </si>
  <si>
    <t>Reset Password Screen</t>
  </si>
  <si>
    <t>This screen allows users to create a new password after verifying the reset request. It supports the Reset Password use case.</t>
  </si>
  <si>
    <t>Customer Profile Update Screen</t>
  </si>
  <si>
    <t>Customer</t>
  </si>
  <si>
    <t>This screen allows Customers to update personal profile information such as name, phone number, email, and avatar. It supports the Update Profile use case.</t>
  </si>
  <si>
    <t>Partner Profile Update Screen</t>
  </si>
  <si>
    <t>Attraction Partner</t>
  </si>
  <si>
    <t>This screen allows Attraction Partners to update business profile information such as business name, contact information, address, and business documents. It supports the Update Partner Profile use case.</t>
  </si>
  <si>
    <t>Lộc</t>
  </si>
  <si>
    <t>User Management Screen</t>
  </si>
  <si>
    <t>Admin</t>
  </si>
  <si>
    <t>This screen allows Admins to view the user list and lock or unlock user accounts when necessary. It supports View User List and Lock or Unlock User Account.</t>
  </si>
  <si>
    <t>Partner Account Management Screen</t>
  </si>
  <si>
    <t>Admin, Attraction Partner, Notification Service</t>
  </si>
  <si>
    <t>This screen allows Admins to lock or unlock Attraction Partner accounts and send account status notifications. It supports Lock or Unlock Partner Account and Send Account Status Notification.</t>
  </si>
  <si>
    <t>Attraction Search Screen</t>
  </si>
  <si>
    <t>Attraction and Ticket Product Management</t>
  </si>
  <si>
    <t>Guest, Customer</t>
  </si>
  <si>
    <t>This screen allows Guests and Customers to search and filter attractions by name, location, category, price, or rating. It supports the Search and Filter Attractions use case.</t>
  </si>
  <si>
    <t>iter2</t>
  </si>
  <si>
    <t>Initial SWP plan: build listing/search/product workflows, approval status handling, database CRUD, and acceptance tests.</t>
  </si>
  <si>
    <t>Attraction Detail Screen</t>
  </si>
  <si>
    <t>This screen allows Guests and Customers to view detailed information about an attraction, including description, images, price, location, opening time, and related ticket products. It supports View Attraction Details.</t>
  </si>
  <si>
    <t>Favorite Attractions Screen</t>
  </si>
  <si>
    <t>This screen allows Customers to save and view favorite attractions for later booking. It supports the Save Favorite Attraction use case.</t>
  </si>
  <si>
    <t>Partner Registration Screen</t>
  </si>
  <si>
    <t>This screen allows Attraction Partners to register as service providers and submit required partner information. It supports Register Partner Account and Submit Partner Information.</t>
  </si>
  <si>
    <t>Partner Approval Screen</t>
  </si>
  <si>
    <t>This screen allows Admins to review partner registration information and approve or reject partner accounts. It supports the Review Partner Registration use case.</t>
  </si>
  <si>
    <t>Attraction Listing Management Screen</t>
  </si>
  <si>
    <t>This screen allows Attraction Partners to create or update attraction listings and submit them for approval. It supports Create or Update Attraction Listing and Submit Attraction for Approval.</t>
  </si>
  <si>
    <t>Attraction Approval Screen</t>
  </si>
  <si>
    <t>This screen allows Admins to review attraction submissions before allowing them to be displayed on the platform. It supports the Review Attraction Submission use case.</t>
  </si>
  <si>
    <t>Ticket Product Management Screen</t>
  </si>
  <si>
    <t>This screen allows Attraction Partners to create or update ticket products, set ticket prices, update ticket availability, and configure visit time slots when needed. It supports Create or Update Ticket Product, Set Ticket Price, Update Ticket Availability, and Set Visit Time Slot.</t>
  </si>
  <si>
    <t>Attraction Moderation Screen</t>
  </si>
  <si>
    <t>This screen allows Admins to hide attractions that violate platform policies and notify the related Attraction Partner. It supports Hide Violating Attraction and Send Violation Notification.</t>
  </si>
  <si>
    <t>Booking Checkout Screen</t>
  </si>
  <si>
    <t>Booking and Payment Management</t>
  </si>
  <si>
    <t>This screen allows Customers to book attraction tickets by selecting an attraction, ticket type, visit date, quantity, and booking information. It supports the Book Attraction Ticket use case.</t>
  </si>
  <si>
    <t>iter3</t>
  </si>
  <si>
    <t>Initial SWP plan: build booking flow, voucher rules, payment gateway sandbox integration, status handling, and transaction test cases.</t>
  </si>
  <si>
    <t>Voucher Application Screen</t>
  </si>
  <si>
    <t>This screen allows Customers to apply a voucher during the booking process to receive a discount. It supports the Apply Voucher use case.</t>
  </si>
  <si>
    <t>Payment Screen</t>
  </si>
  <si>
    <t>Customer, Payment Gateway</t>
  </si>
  <si>
    <t>This screen allows Customers to complete online payment through the Payment Gateway. It supports the Process Online Payment use case.</t>
  </si>
  <si>
    <t>Booking Confirmation Screen</t>
  </si>
  <si>
    <t>This screen allows Attraction Partners to confirm bookings that require manual approval. It supports the Process Booking Confirmation use case.</t>
  </si>
  <si>
    <t>AI Travel Assistant Screen</t>
  </si>
  <si>
    <t>AI Travel Assistant</t>
  </si>
  <si>
    <t>Customer, AI Service</t>
  </si>
  <si>
    <t>This screen allows Customers to use the AI Travel Assistant for travel-related support. It supports Use AI Travel Assistant and Provide AI Travel Assistance.</t>
  </si>
  <si>
    <t>iter4</t>
  </si>
  <si>
    <t>Initial SWP plan: prototype AI workflow with controlled prompts/mock service first, then integrate service API after core data flow is stable.</t>
  </si>
  <si>
    <t>Attraction Suggestion Screen</t>
  </si>
  <si>
    <t>This screen displays attraction suggestions generated by the AI Service based on Customer needs or preferences. It supports the Suggest Attractions use case.</t>
  </si>
  <si>
    <t>Travel Question Answering Screen</t>
  </si>
  <si>
    <t>This screen allows Customers to ask travel-related questions and receive AI-generated answers. It supports the Answer Travel Questions use case.</t>
  </si>
  <si>
    <t>Ticket Package Recommendation Screen</t>
  </si>
  <si>
    <t>This screen displays suitable ticket package recommendations such as combo tickets, family tickets, or group tickets. It supports the Recommend Ticket Packages use case.</t>
  </si>
  <si>
    <t>Visit Plan Generation Screen</t>
  </si>
  <si>
    <t>This screen displays a suggested visit plan based on the Customer’s time, budget, and preferred attractions. It supports the Generate Visit Plan use case.</t>
  </si>
  <si>
    <t>QR Code Validation Screen</t>
  </si>
  <si>
    <t>Ticket Validation and Gate Control</t>
  </si>
  <si>
    <t>This screen allows Attraction Partners to validate Customers’ e-tickets or QR codes at the attraction entrance. It supports the Validate E-Ticket / QR Code use case.</t>
  </si>
  <si>
    <t>Initial SWP plan: build QR code validation flow, ticket status rules, usage update logic, and gate-control test cases.</t>
  </si>
  <si>
    <t>QR Code Scanning Screen</t>
  </si>
  <si>
    <t>This screen allows Attraction Partners to scan the QR code shown on the Customer’s e-ticket. It supports the Scan QR Code use case.</t>
  </si>
  <si>
    <t>Ticket Status Checking Screen</t>
  </si>
  <si>
    <t>Attraction Partner, System</t>
  </si>
  <si>
    <t>This screen displays ticket status such as valid, used, expired, cancelled, or invalid. It supports the Check Ticket Status use case.</t>
  </si>
  <si>
    <t>Ticket Usage Confirmation Screen</t>
  </si>
  <si>
    <t>This screen allows the system to mark a ticket as used after successful validation. It supports the Mark Ticket as Used use case.</t>
  </si>
  <si>
    <t>Invalid Ticket Report Screen</t>
  </si>
  <si>
    <t>Attraction Partner, Support Staff</t>
  </si>
  <si>
    <t>This screen allows Attraction Partners to report invalid tickets when a QR code or e-ticket cannot be accepted. It supports the Report Invalid Ticket use case.</t>
  </si>
  <si>
    <t>Booking History Screen</t>
  </si>
  <si>
    <t>Post-Booking and Customer Support</t>
  </si>
  <si>
    <t>This screen allows Customers to view their booking history in the system. It supports the View Booking History use case.</t>
  </si>
  <si>
    <t>iter5</t>
  </si>
  <si>
    <t>Initial SWP plan: build post-booking, refund, review, and support workflows with clear status changes and support-staff handling.</t>
  </si>
  <si>
    <t>Booking Detail Screen</t>
  </si>
  <si>
    <t>This screen allows Customers to view detailed information about a selected booking, such as ticket code, QR code, visit date, payment status, and booking status. It supports the View Booking Detail use case.</t>
  </si>
  <si>
    <t>Cancel Booking Screen</t>
  </si>
  <si>
    <t>This screen allows Customers to cancel a booking according to the platform’s cancellation policy. It supports the Cancel Booking use case.</t>
  </si>
  <si>
    <t>Refund Request Screen</t>
  </si>
  <si>
    <t>Customer, Support Staff</t>
  </si>
  <si>
    <t>This screen allows Customers to request a refund after cancelling a booking or when refund conditions are met. It supports the Request Refund use case.</t>
  </si>
  <si>
    <t>Review Submission Screen</t>
  </si>
  <si>
    <t>This screen allows Customers to submit attraction reviews after using the attraction service. It supports Submit Attraction Review, Rate Attraction, and Write Review Comment.</t>
  </si>
  <si>
    <t>Support Contact Screen</t>
  </si>
  <si>
    <t>This screen allows Customers to contact Support Staff for help related to booking, payment, refund, ticket, or account issues. It supports the Contact Support use case.</t>
  </si>
  <si>
    <t/>
  </si>
  <si>
    <t>This screen allows Attraction Partners to view Customer reviews and respond to them. It supports View Customer Reviews and Respond to Customer Reviews.</t>
  </si>
  <si>
    <t>Support Request Management Screen</t>
  </si>
  <si>
    <t>Support Staff, Customer</t>
  </si>
  <si>
    <t>This screen allows Support Staff to handle Customer support requests, respond to inquiries, view related booking information, and resolve complaints. It supports Handle Customer Support Request, Respond to Customer Inquiry, View Customer Booking, and Resolve Complaint.</t>
  </si>
  <si>
    <t>This screen allows Support Staff to review refund requests, process approved refunds through the Payment Gateway, and send refund notifications. It supports Process Refund Request, Review Refund Request, Process Refund, and Send Refund Notification.</t>
  </si>
  <si>
    <t>E-Ticket Reissue Screen</t>
  </si>
  <si>
    <t>Support Staff, Customer, Notification Service</t>
  </si>
  <si>
    <t>This screen allows Support Staff to reissue an e-ticket or QR code when the Customer does not receive the ticket or needs it resent. It supports Reissue E-Ticket and Send E-Ticket Notification.</t>
  </si>
  <si>
    <t>Review Moderation Screen</t>
  </si>
  <si>
    <t>This screen allows Admins to moderate Customer reviews and hide reviews that violate platform rules. It supports Moderate Customer Review and Hide Violating Review.</t>
  </si>
  <si>
    <t>Partner Booking List Screen</t>
  </si>
  <si>
    <t>Admin Back-Office and Reporting</t>
  </si>
  <si>
    <t>This screen allows Attraction Partners to view Customer bookings related to their attractions or ticket products. It supports the View Customer Bookings use case.</t>
  </si>
  <si>
    <t>Initial SWP plan: build admin reports, voucher/commission configuration, revenue tracking, and dashboard acceptance criteria.</t>
  </si>
  <si>
    <t>Partner Revenue Report Screen</t>
  </si>
  <si>
    <t>This screen allows Attraction Partners to view revenue reports for ticket sales. It supports the View Revenue Report use case.</t>
  </si>
  <si>
    <t>Payment Tracking Screen</t>
  </si>
  <si>
    <t>Support Staff, Payment Gateway</t>
  </si>
  <si>
    <t>This screen allows Support Staff to track payment status for bookings, such as paid, failed, pending, or refunded. It supports the Track Payment Status use case.</t>
  </si>
  <si>
    <t>Voucher Management Screen</t>
  </si>
  <si>
    <t>This screen allows Admins to configure vouchers, create new vouchers, update voucher information, and disable vouchers. It supports Configure Voucher, Create Voucher, Update Voucher, and Disable Voucher.</t>
  </si>
  <si>
    <t>Commission Rate Setting Screen</t>
  </si>
  <si>
    <t>This screen allows Admins to configure the commission rate between the platform and Attraction Partners. It supports the Configure Commission Rate use case.</t>
  </si>
  <si>
    <t>Platform Report Dashboard</t>
  </si>
  <si>
    <t>This screen allows Admins to view platform reports, booking statistics, revenue dashboard, and transaction history. It supports View Platform Reports, View Booking Statistics, View Revenue Dashboard, and View Transaction History.</t>
  </si>
  <si>
    <t>Iteration</t>
  </si>
  <si>
    <t>Team Member</t>
  </si>
  <si>
    <t>Source</t>
  </si>
  <si>
    <t>project_tracking.docx</t>
  </si>
  <si>
    <t>Doing</t>
  </si>
  <si>
    <t>Done</t>
  </si>
  <si>
    <t>Blocked</t>
  </si>
  <si>
    <t>Project Tracking Dashboard - Travel Attraction Ticket Booking Platform</t>
  </si>
  <si>
    <t>Source: project_tracking.docx + Excel template form. Main data table: Project Tracking!A3:J53</t>
  </si>
  <si>
    <t>KPI</t>
  </si>
  <si>
    <t>Value</t>
  </si>
  <si>
    <t>Count</t>
  </si>
  <si>
    <t>Total screens/functions</t>
  </si>
  <si>
    <t>Total features</t>
  </si>
  <si>
    <t>Assigned team members</t>
  </si>
  <si>
    <t>Feature Summary</t>
  </si>
  <si>
    <t>Team Workload</t>
  </si>
  <si>
    <t>Total</t>
  </si>
  <si>
    <t>Done/Updated</t>
  </si>
  <si>
    <t>Items</t>
  </si>
  <si>
    <t>Share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</si>
</sst>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6">
    <font>
      <sz val="10"/>
      <color rgb="FF000000"/>
      <name val="Arial"/>
      <charset val="134"/>
    </font>
    <font>
      <b/>
      <sz val="16"/>
      <color rgb="FF111827"/>
      <name val="Arial"/>
      <charset val="134"/>
    </font>
    <font>
      <i/>
      <sz val="10"/>
      <color rgb="FF6B7280"/>
      <name val="Arial"/>
      <charset val="134"/>
    </font>
    <font>
      <b/>
      <sz val="10"/>
      <color rgb="FF000000"/>
      <name val="Arial"/>
      <charset val="134"/>
    </font>
    <font>
      <i/>
      <sz val="11"/>
      <color rgb="FFB91C1C"/>
      <name val="Arial"/>
      <charset val="134"/>
    </font>
    <font>
      <sz val="10"/>
      <color rgb="FF111827"/>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E0F2FE"/>
        <bgColor indexed="64"/>
      </patternFill>
    </fill>
    <fill>
      <patternFill patternType="solid">
        <fgColor rgb="FFF8CBAD"/>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8">
    <xf numFmtId="0" fontId="0" fillId="0" borderId="0" xfId="0" applyFont="1" applyAlignment="1"/>
    <xf numFmtId="0" fontId="1" fillId="2" borderId="0" xfId="0" applyNumberFormat="1" applyFont="1" applyFill="1" applyBorder="1" applyAlignment="1">
      <alignment horizontal="left" vertical="center"/>
    </xf>
    <xf numFmtId="0" fontId="2" fillId="0" borderId="0" xfId="0" applyNumberFormat="1" applyFont="1" applyFill="1" applyBorder="1" applyAlignment="1">
      <alignment vertical="center"/>
    </xf>
    <xf numFmtId="0" fontId="3" fillId="3" borderId="0" xfId="0" applyNumberFormat="1" applyFont="1" applyFill="1" applyAlignment="1">
      <alignment horizontal="center" vertical="center" wrapText="1"/>
    </xf>
    <xf numFmtId="0" fontId="0" fillId="0" borderId="0" xfId="0" applyNumberFormat="1" applyFont="1" applyFill="1" applyAlignment="1">
      <alignment wrapText="1"/>
    </xf>
    <xf numFmtId="0" fontId="3" fillId="3" borderId="0" xfId="0" applyNumberFormat="1" applyFont="1" applyFill="1" applyBorder="1" applyAlignment="1">
      <alignment horizontal="center" vertical="center" wrapText="1"/>
    </xf>
    <xf numFmtId="178" fontId="0" fillId="0" borderId="0" xfId="0" applyNumberFormat="1" applyFont="1" applyFill="1" applyAlignment="1">
      <alignment wrapText="1"/>
    </xf>
    <xf numFmtId="0" fontId="0" fillId="0" borderId="0" xfId="0" applyNumberFormat="1" applyFont="1" applyFill="1" applyBorder="1" applyAlignment="1">
      <alignment vertical="top" wrapText="1"/>
    </xf>
    <xf numFmtId="0" fontId="1" fillId="2" borderId="0" xfId="0" applyNumberFormat="1" applyFont="1" applyFill="1" applyAlignment="1">
      <alignment horizontal="left" vertical="center"/>
    </xf>
    <xf numFmtId="0" fontId="4" fillId="4" borderId="0" xfId="0" applyNumberFormat="1" applyFont="1" applyFill="1" applyAlignment="1">
      <alignment horizontal="left" vertical="center"/>
    </xf>
    <xf numFmtId="0" fontId="3" fillId="3" borderId="1" xfId="0" applyNumberFormat="1" applyFont="1" applyFill="1" applyBorder="1" applyAlignment="1">
      <alignment horizontal="center" vertical="center" wrapText="1"/>
    </xf>
    <xf numFmtId="1" fontId="5" fillId="0" borderId="1" xfId="0" applyNumberFormat="1" applyFont="1" applyFill="1" applyBorder="1" applyAlignment="1">
      <alignment horizontal="center" vertical="top" wrapText="1"/>
    </xf>
    <xf numFmtId="0" fontId="5" fillId="0" borderId="1" xfId="0" applyNumberFormat="1" applyFont="1" applyFill="1" applyBorder="1" applyAlignment="1">
      <alignment vertical="top" wrapText="1"/>
    </xf>
    <xf numFmtId="0" fontId="5" fillId="0" borderId="1" xfId="0" applyNumberFormat="1" applyFont="1" applyFill="1" applyBorder="1" applyAlignment="1">
      <alignment horizontal="left" vertical="top" wrapText="1"/>
    </xf>
    <xf numFmtId="0" fontId="5" fillId="0" borderId="1" xfId="0" applyNumberFormat="1" applyFont="1" applyFill="1" applyBorder="1" applyAlignment="1">
      <alignment horizontal="center" vertical="top" wrapText="1"/>
    </xf>
    <xf numFmtId="1" fontId="5" fillId="0" borderId="0" xfId="0" applyNumberFormat="1" applyFont="1" applyFill="1" applyAlignment="1">
      <alignment horizontal="center" vertical="top" wrapText="1"/>
    </xf>
    <xf numFmtId="0" fontId="5" fillId="0" borderId="0" xfId="0" applyNumberFormat="1" applyFont="1" applyFill="1" applyAlignment="1">
      <alignment vertical="top" wrapText="1"/>
    </xf>
    <xf numFmtId="0" fontId="5" fillId="0" borderId="0" xfId="0" applyNumberFormat="1" applyFont="1" applyFill="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7">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color rgb="FF374151"/>
      </font>
      <fill>
        <patternFill patternType="solid">
          <bgColor rgb="FFF3F4F6"/>
        </patternFill>
      </fill>
    </dxf>
    <dxf>
      <font>
        <color rgb="FF92400E"/>
      </font>
      <fill>
        <patternFill patternType="solid">
          <bgColor rgb="FFFEF3C7"/>
        </patternFill>
      </fill>
    </dxf>
    <dxf>
      <font>
        <color rgb="FF166534"/>
      </font>
      <fill>
        <patternFill patternType="solid">
          <bgColor rgb="FFDCFCE7"/>
        </patternFill>
      </fill>
    </dxf>
    <dxf>
      <font>
        <color rgb="FF1D4ED8"/>
      </font>
      <fill>
        <patternFill patternType="solid">
          <bgColor rgb="FFDBEAFE"/>
        </patternFill>
      </fill>
    </dxf>
    <dxf>
      <font>
        <color rgb="FF991B1B"/>
      </font>
      <fill>
        <patternFill patternType="solid">
          <bgColor rgb="FFFEE2E2"/>
        </patternFill>
      </fill>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 name="PivotStylePreset2_Accent1" table="0" count="10" xr9:uid="{267968C8-6FFD-4C36-ACC1-9EA1FD1885CA}">
      <tableStyleElement type="headerRow" dxfId="36"/>
      <tableStyleElement type="totalRow" dxfId="35"/>
      <tableStyleElement type="firstRowStripe" dxfId="34"/>
      <tableStyleElement type="firstColumnStripe" dxfId="33"/>
      <tableStyleElement type="firstSubtotalRow" dxfId="32"/>
      <tableStyleElement type="secondSubtotalRow" dxfId="31"/>
      <tableStyleElement type="firstRowSubheading" dxfId="30"/>
      <tableStyleElement type="secondRowSubheading" dxfId="29"/>
      <tableStyleElement type="pageFieldLabels" dxfId="28"/>
      <tableStyleElement type="pageFieldValues" dxfId="2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Screens / Functions by Feature</a:t>
            </a:r>
          </a:p>
        </c:rich>
      </c:tx>
      <c:layout/>
      <c:overlay val="0"/>
    </c:title>
    <c:autoTitleDeleted val="0"/>
    <c:plotArea>
      <c:layout/>
      <c:barChart>
        <c:barDir val="col"/>
        <c:grouping val="none"/>
        <c:varyColors val="0"/>
        <c:ser>
          <c:idx val="0"/>
          <c:order val="0"/>
          <c:tx>
            <c:strRef>
              <c:f>"Total"</c:f>
              <c:strCache>
                <c:ptCount val="1"/>
                <c:pt idx="0">
                  <c:v>Total</c:v>
                </c:pt>
              </c:strCache>
            </c:strRef>
          </c:tx>
          <c:invertIfNegative val="0"/>
          <c:dLbls>
            <c:delete val="1"/>
          </c:dLbls>
          <c:cat>
            <c:strRef>
              <c:f>Dashboard!$A$13:$A$19</c:f>
              <c:strCache>
                <c:ptCount val="7"/>
                <c:pt idx="0">
                  <c:v>Authentication and Profile Management</c:v>
                </c:pt>
                <c:pt idx="1">
                  <c:v>Attraction and Ticket Product Management</c:v>
                </c:pt>
                <c:pt idx="2">
                  <c:v>Booking and Payment Management</c:v>
                </c:pt>
                <c:pt idx="3">
                  <c:v>AI Travel Assistant</c:v>
                </c:pt>
                <c:pt idx="4">
                  <c:v>Ticket Validation and Gate Control</c:v>
                </c:pt>
                <c:pt idx="5">
                  <c:v>Post-Booking and Customer Support</c:v>
                </c:pt>
                <c:pt idx="6">
                  <c:v>Admin Back-Office and Reporting</c:v>
                </c:pt>
              </c:strCache>
            </c:strRef>
          </c:cat>
          <c:val>
            <c:numRef>
              <c:f>Dashboard!$B$13:$B$19</c:f>
              <c:numCache>
                <c:formatCode>General</c:formatCode>
                <c:ptCount val="7"/>
                <c:pt idx="0">
                  <c:v>10</c:v>
                </c:pt>
                <c:pt idx="1">
                  <c:v>9</c:v>
                </c:pt>
                <c:pt idx="2">
                  <c:v>4</c:v>
                </c:pt>
                <c:pt idx="3">
                  <c:v>5</c:v>
                </c:pt>
                <c:pt idx="4">
                  <c:v>5</c:v>
                </c:pt>
                <c:pt idx="5">
                  <c:v>11</c:v>
                </c:pt>
                <c:pt idx="6">
                  <c:v>6</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cfbe7459-5f47-4998-8e34-480f19a438ab}"/>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21</xdr:row>
      <xdr:rowOff>0</xdr:rowOff>
    </xdr:from>
    <xdr:to>
      <xdr:col>10</xdr:col>
      <xdr:colOff>0</xdr:colOff>
      <xdr:row>40</xdr:row>
      <xdr:rowOff>0</xdr:rowOff>
    </xdr:to>
    <xdr:graphicFrame>
      <xdr:nvGraphicFramePr>
        <xdr:cNvPr id="2" name="Chart"/>
        <xdr:cNvGraphicFramePr/>
      </xdr:nvGraphicFramePr>
      <xdr:xfrm>
        <a:off x="0" y="3876040"/>
        <a:ext cx="10355580" cy="3185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ProjectTrackingTable" displayName="ProjectTrackingTable" ref="A3:J53">
  <tableColumns count="10">
    <tableColumn id="1" name="#" dataDxfId="0"/>
    <tableColumn id="2" name="Screen/Function" dataDxfId="1"/>
    <tableColumn id="3" name="Feature" dataDxfId="2"/>
    <tableColumn id="4" name="Actor" dataDxfId="3"/>
    <tableColumn id="5" name="Screen/Function Description" dataDxfId="4"/>
    <tableColumn id="6" name="In Charge" dataDxfId="5"/>
    <tableColumn id="7" name="Status" dataDxfId="6"/>
    <tableColumn id="8" name="Actual" dataDxfId="7"/>
    <tableColumn id="9" name="Updated" dataDxfId="8"/>
    <tableColumn id="10" name="Update Details" dataDxfId="9"/>
  </tableColumns>
  <tableStyleInfo name="TableStyleMedium2" showFirstColumn="0" showLastColumn="0" showRowStripes="1" showColumnStripes="0"/>
</table>
</file>

<file path=xl/tables/table2.xml><?xml version="1.0" encoding="utf-8"?>
<table xmlns="http://schemas.openxmlformats.org/spreadsheetml/2006/main" id="2" name="DropdownListsTable" displayName="DropdownListsTable" ref="A1:E8">
  <tableColumns count="5">
    <tableColumn id="1" name="Status" dataDxfId="15"/>
    <tableColumn id="2" name="Iteration" dataDxfId="16"/>
    <tableColumn id="3" name="Team Member" dataDxfId="17"/>
    <tableColumn id="4" name="Feature" dataDxfId="18"/>
    <tableColumn id="5" name="Source" dataDxfId="19"/>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3"/>
  <sheetViews>
    <sheetView tabSelected="1" topLeftCell="A41" workbookViewId="0">
      <selection activeCell="D52" sqref="D52"/>
    </sheetView>
  </sheetViews>
  <sheetFormatPr defaultColWidth="12.6296296296296" defaultRowHeight="13.2"/>
  <cols>
    <col min="1" max="1" width="5" customWidth="1"/>
    <col min="2" max="2" width="28" customWidth="1"/>
    <col min="3" max="3" width="30" customWidth="1"/>
    <col min="4" max="4" width="32" customWidth="1"/>
    <col min="5" max="5" width="60" customWidth="1"/>
    <col min="6" max="6" width="18" customWidth="1"/>
    <col min="7" max="7" width="13" customWidth="1"/>
    <col min="8" max="9" width="12" customWidth="1"/>
    <col min="10" max="10" width="48" customWidth="1"/>
  </cols>
  <sheetData>
    <row r="1" ht="28" customHeight="1" spans="1:10">
      <c r="A1" s="8" t="s">
        <v>0</v>
      </c>
      <c r="B1" s="8"/>
      <c r="C1" s="8"/>
      <c r="D1" s="8"/>
      <c r="E1" s="8"/>
      <c r="F1" s="8"/>
      <c r="G1" s="8"/>
      <c r="H1" s="8"/>
      <c r="I1" s="8"/>
      <c r="J1" s="8"/>
    </row>
    <row r="2" ht="28" customHeight="1" spans="1:10">
      <c r="A2" s="9" t="s">
        <v>1</v>
      </c>
      <c r="B2" s="9"/>
      <c r="C2" s="9"/>
      <c r="D2" s="9"/>
      <c r="E2" s="9"/>
      <c r="F2" s="9"/>
      <c r="G2" s="9"/>
      <c r="H2" s="9"/>
      <c r="I2" s="9"/>
      <c r="J2" s="9"/>
    </row>
    <row r="3" ht="30" customHeight="1" spans="1:10">
      <c r="A3" s="10" t="s">
        <v>2</v>
      </c>
      <c r="B3" s="10" t="s">
        <v>3</v>
      </c>
      <c r="C3" s="10" t="s">
        <v>4</v>
      </c>
      <c r="D3" s="10" t="s">
        <v>5</v>
      </c>
      <c r="E3" s="10" t="s">
        <v>6</v>
      </c>
      <c r="F3" s="10" t="s">
        <v>7</v>
      </c>
      <c r="G3" s="10" t="s">
        <v>8</v>
      </c>
      <c r="H3" s="10" t="s">
        <v>9</v>
      </c>
      <c r="I3" s="10" t="s">
        <v>10</v>
      </c>
      <c r="J3" s="10" t="s">
        <v>11</v>
      </c>
    </row>
    <row r="4" ht="62" customHeight="1" spans="1:10">
      <c r="A4" s="11">
        <v>1</v>
      </c>
      <c r="B4" s="12" t="s">
        <v>12</v>
      </c>
      <c r="C4" s="12" t="s">
        <v>13</v>
      </c>
      <c r="D4" s="12" t="s">
        <v>14</v>
      </c>
      <c r="E4" s="12" t="s">
        <v>15</v>
      </c>
      <c r="F4" s="13" t="s">
        <v>16</v>
      </c>
      <c r="G4" s="14" t="s">
        <v>17</v>
      </c>
      <c r="H4" s="14" t="s">
        <v>18</v>
      </c>
      <c r="I4" s="14" t="s">
        <v>19</v>
      </c>
      <c r="J4" s="12" t="s">
        <v>20</v>
      </c>
    </row>
    <row r="5" ht="62" customHeight="1" spans="1:10">
      <c r="A5" s="11">
        <v>2</v>
      </c>
      <c r="B5" s="12" t="s">
        <v>21</v>
      </c>
      <c r="C5" s="12" t="s">
        <v>13</v>
      </c>
      <c r="D5" s="12" t="s">
        <v>22</v>
      </c>
      <c r="E5" s="12" t="s">
        <v>23</v>
      </c>
      <c r="F5" s="13" t="s">
        <v>16</v>
      </c>
      <c r="G5" s="14" t="s">
        <v>17</v>
      </c>
      <c r="H5" s="14" t="s">
        <v>18</v>
      </c>
      <c r="I5" s="14" t="s">
        <v>19</v>
      </c>
      <c r="J5" s="12" t="s">
        <v>20</v>
      </c>
    </row>
    <row r="6" ht="62" customHeight="1" spans="1:10">
      <c r="A6" s="11">
        <v>3</v>
      </c>
      <c r="B6" s="12" t="s">
        <v>24</v>
      </c>
      <c r="C6" s="12" t="s">
        <v>13</v>
      </c>
      <c r="D6" s="12" t="s">
        <v>25</v>
      </c>
      <c r="E6" s="12" t="s">
        <v>26</v>
      </c>
      <c r="F6" s="13" t="s">
        <v>27</v>
      </c>
      <c r="G6" s="14" t="s">
        <v>17</v>
      </c>
      <c r="H6" s="14" t="s">
        <v>18</v>
      </c>
      <c r="I6" s="14" t="s">
        <v>19</v>
      </c>
      <c r="J6" s="12" t="s">
        <v>20</v>
      </c>
    </row>
    <row r="7" ht="62" customHeight="1" spans="1:10">
      <c r="A7" s="11">
        <v>4</v>
      </c>
      <c r="B7" s="12" t="s">
        <v>28</v>
      </c>
      <c r="C7" s="12" t="s">
        <v>13</v>
      </c>
      <c r="D7" s="12" t="s">
        <v>29</v>
      </c>
      <c r="E7" s="12" t="s">
        <v>30</v>
      </c>
      <c r="F7" s="13" t="s">
        <v>31</v>
      </c>
      <c r="G7" s="14" t="s">
        <v>17</v>
      </c>
      <c r="H7" s="14" t="s">
        <v>18</v>
      </c>
      <c r="I7" s="14" t="s">
        <v>19</v>
      </c>
      <c r="J7" s="12" t="s">
        <v>20</v>
      </c>
    </row>
    <row r="8" ht="62" customHeight="1" spans="1:10">
      <c r="A8" s="15">
        <v>5</v>
      </c>
      <c r="B8" s="16" t="s">
        <v>32</v>
      </c>
      <c r="C8" s="16" t="s">
        <v>13</v>
      </c>
      <c r="D8" s="16" t="s">
        <v>33</v>
      </c>
      <c r="E8" s="16" t="s">
        <v>34</v>
      </c>
      <c r="F8" s="16" t="s">
        <v>16</v>
      </c>
      <c r="G8" s="17" t="s">
        <v>17</v>
      </c>
      <c r="H8" s="17" t="s">
        <v>18</v>
      </c>
      <c r="I8" s="17" t="s">
        <v>19</v>
      </c>
      <c r="J8" s="16" t="s">
        <v>20</v>
      </c>
    </row>
    <row r="9" ht="62" customHeight="1" spans="1:10">
      <c r="A9" s="15">
        <v>6</v>
      </c>
      <c r="B9" s="16" t="s">
        <v>35</v>
      </c>
      <c r="C9" s="16" t="s">
        <v>13</v>
      </c>
      <c r="D9" s="16" t="s">
        <v>25</v>
      </c>
      <c r="E9" s="16" t="s">
        <v>36</v>
      </c>
      <c r="F9" s="16" t="s">
        <v>16</v>
      </c>
      <c r="G9" s="17" t="s">
        <v>17</v>
      </c>
      <c r="H9" s="17" t="s">
        <v>18</v>
      </c>
      <c r="I9" s="17" t="s">
        <v>19</v>
      </c>
      <c r="J9" s="16" t="s">
        <v>20</v>
      </c>
    </row>
    <row r="10" ht="62" customHeight="1" spans="1:10">
      <c r="A10" s="15">
        <v>7</v>
      </c>
      <c r="B10" s="16" t="s">
        <v>37</v>
      </c>
      <c r="C10" s="16" t="s">
        <v>13</v>
      </c>
      <c r="D10" s="16" t="s">
        <v>38</v>
      </c>
      <c r="E10" s="16" t="s">
        <v>39</v>
      </c>
      <c r="F10" s="16" t="s">
        <v>27</v>
      </c>
      <c r="G10" s="17" t="s">
        <v>17</v>
      </c>
      <c r="H10" s="17" t="s">
        <v>18</v>
      </c>
      <c r="I10" s="17" t="s">
        <v>19</v>
      </c>
      <c r="J10" s="16" t="s">
        <v>20</v>
      </c>
    </row>
    <row r="11" ht="62" customHeight="1" spans="1:10">
      <c r="A11" s="15">
        <v>8</v>
      </c>
      <c r="B11" s="16" t="s">
        <v>40</v>
      </c>
      <c r="C11" s="16" t="s">
        <v>13</v>
      </c>
      <c r="D11" s="16" t="s">
        <v>41</v>
      </c>
      <c r="E11" s="16" t="s">
        <v>42</v>
      </c>
      <c r="F11" s="16" t="s">
        <v>43</v>
      </c>
      <c r="G11" s="17" t="s">
        <v>17</v>
      </c>
      <c r="H11" s="17" t="s">
        <v>18</v>
      </c>
      <c r="I11" s="17" t="s">
        <v>19</v>
      </c>
      <c r="J11" s="16" t="s">
        <v>20</v>
      </c>
    </row>
    <row r="12" ht="62" customHeight="1" spans="1:10">
      <c r="A12" s="15">
        <v>9</v>
      </c>
      <c r="B12" s="16" t="s">
        <v>44</v>
      </c>
      <c r="C12" s="16" t="s">
        <v>13</v>
      </c>
      <c r="D12" s="16" t="s">
        <v>45</v>
      </c>
      <c r="E12" s="16" t="s">
        <v>46</v>
      </c>
      <c r="F12" s="16" t="s">
        <v>27</v>
      </c>
      <c r="G12" s="17" t="s">
        <v>17</v>
      </c>
      <c r="H12" s="17" t="s">
        <v>18</v>
      </c>
      <c r="I12" s="17" t="s">
        <v>19</v>
      </c>
      <c r="J12" s="16" t="s">
        <v>20</v>
      </c>
    </row>
    <row r="13" ht="62" customHeight="1" spans="1:10">
      <c r="A13" s="15">
        <v>10</v>
      </c>
      <c r="B13" s="16" t="s">
        <v>47</v>
      </c>
      <c r="C13" s="16" t="s">
        <v>13</v>
      </c>
      <c r="D13" s="16" t="s">
        <v>48</v>
      </c>
      <c r="E13" s="16" t="s">
        <v>49</v>
      </c>
      <c r="F13" s="16" t="s">
        <v>27</v>
      </c>
      <c r="G13" s="17" t="s">
        <v>17</v>
      </c>
      <c r="H13" s="17" t="s">
        <v>18</v>
      </c>
      <c r="I13" s="17" t="s">
        <v>19</v>
      </c>
      <c r="J13" s="16" t="s">
        <v>20</v>
      </c>
    </row>
    <row r="14" ht="62" customHeight="1" spans="1:10">
      <c r="A14" s="15">
        <v>11</v>
      </c>
      <c r="B14" s="16" t="s">
        <v>50</v>
      </c>
      <c r="C14" s="16" t="s">
        <v>51</v>
      </c>
      <c r="D14" s="16" t="s">
        <v>52</v>
      </c>
      <c r="E14" s="16" t="s">
        <v>53</v>
      </c>
      <c r="F14" s="16" t="s">
        <v>43</v>
      </c>
      <c r="G14" s="17" t="s">
        <v>17</v>
      </c>
      <c r="H14" s="17" t="s">
        <v>54</v>
      </c>
      <c r="I14" s="17" t="s">
        <v>19</v>
      </c>
      <c r="J14" s="16" t="s">
        <v>55</v>
      </c>
    </row>
    <row r="15" ht="62" customHeight="1" spans="1:10">
      <c r="A15" s="15">
        <v>12</v>
      </c>
      <c r="B15" s="16" t="s">
        <v>56</v>
      </c>
      <c r="C15" s="16" t="s">
        <v>51</v>
      </c>
      <c r="D15" s="16" t="s">
        <v>52</v>
      </c>
      <c r="E15" s="16" t="s">
        <v>57</v>
      </c>
      <c r="F15" s="16" t="s">
        <v>43</v>
      </c>
      <c r="G15" s="17" t="s">
        <v>17</v>
      </c>
      <c r="H15" s="17" t="s">
        <v>54</v>
      </c>
      <c r="I15" s="17" t="s">
        <v>19</v>
      </c>
      <c r="J15" s="16" t="s">
        <v>55</v>
      </c>
    </row>
    <row r="16" ht="62" customHeight="1" spans="1:10">
      <c r="A16" s="15">
        <v>13</v>
      </c>
      <c r="B16" s="16" t="s">
        <v>58</v>
      </c>
      <c r="C16" s="16" t="s">
        <v>51</v>
      </c>
      <c r="D16" s="16" t="s">
        <v>38</v>
      </c>
      <c r="E16" s="16" t="s">
        <v>59</v>
      </c>
      <c r="F16" s="16" t="s">
        <v>16</v>
      </c>
      <c r="G16" s="17" t="s">
        <v>17</v>
      </c>
      <c r="H16" s="17" t="s">
        <v>54</v>
      </c>
      <c r="I16" s="17" t="s">
        <v>19</v>
      </c>
      <c r="J16" s="16" t="s">
        <v>55</v>
      </c>
    </row>
    <row r="17" ht="62" customHeight="1" spans="1:10">
      <c r="A17" s="15">
        <v>14</v>
      </c>
      <c r="B17" s="16" t="s">
        <v>60</v>
      </c>
      <c r="C17" s="16" t="s">
        <v>51</v>
      </c>
      <c r="D17" s="16" t="s">
        <v>41</v>
      </c>
      <c r="E17" s="16" t="s">
        <v>61</v>
      </c>
      <c r="F17" s="16" t="s">
        <v>43</v>
      </c>
      <c r="G17" s="17" t="s">
        <v>17</v>
      </c>
      <c r="H17" s="17" t="s">
        <v>54</v>
      </c>
      <c r="I17" s="17" t="s">
        <v>19</v>
      </c>
      <c r="J17" s="16" t="s">
        <v>55</v>
      </c>
    </row>
    <row r="18" ht="62" customHeight="1" spans="1:10">
      <c r="A18" s="15">
        <v>15</v>
      </c>
      <c r="B18" s="16" t="s">
        <v>62</v>
      </c>
      <c r="C18" s="16" t="s">
        <v>51</v>
      </c>
      <c r="D18" s="16" t="s">
        <v>45</v>
      </c>
      <c r="E18" s="16" t="s">
        <v>63</v>
      </c>
      <c r="F18" s="16" t="s">
        <v>27</v>
      </c>
      <c r="G18" s="17" t="s">
        <v>17</v>
      </c>
      <c r="H18" s="17" t="s">
        <v>54</v>
      </c>
      <c r="I18" s="17" t="s">
        <v>19</v>
      </c>
      <c r="J18" s="16" t="s">
        <v>55</v>
      </c>
    </row>
    <row r="19" ht="62" customHeight="1" spans="1:10">
      <c r="A19" s="15">
        <v>16</v>
      </c>
      <c r="B19" s="16" t="s">
        <v>64</v>
      </c>
      <c r="C19" s="16" t="s">
        <v>51</v>
      </c>
      <c r="D19" s="16" t="s">
        <v>41</v>
      </c>
      <c r="E19" s="16" t="s">
        <v>65</v>
      </c>
      <c r="F19" s="16" t="s">
        <v>43</v>
      </c>
      <c r="G19" s="17" t="s">
        <v>17</v>
      </c>
      <c r="H19" s="17" t="s">
        <v>54</v>
      </c>
      <c r="I19" s="17" t="s">
        <v>19</v>
      </c>
      <c r="J19" s="16" t="s">
        <v>55</v>
      </c>
    </row>
    <row r="20" ht="62" customHeight="1" spans="1:10">
      <c r="A20" s="15">
        <v>17</v>
      </c>
      <c r="B20" s="16" t="s">
        <v>66</v>
      </c>
      <c r="C20" s="16" t="s">
        <v>51</v>
      </c>
      <c r="D20" s="16" t="s">
        <v>45</v>
      </c>
      <c r="E20" s="16" t="s">
        <v>67</v>
      </c>
      <c r="F20" s="16" t="s">
        <v>27</v>
      </c>
      <c r="G20" s="17" t="s">
        <v>17</v>
      </c>
      <c r="H20" s="17" t="s">
        <v>54</v>
      </c>
      <c r="I20" s="17" t="s">
        <v>19</v>
      </c>
      <c r="J20" s="16" t="s">
        <v>55</v>
      </c>
    </row>
    <row r="21" ht="62" customHeight="1" spans="1:10">
      <c r="A21" s="15">
        <v>18</v>
      </c>
      <c r="B21" s="16" t="s">
        <v>68</v>
      </c>
      <c r="C21" s="16" t="s">
        <v>51</v>
      </c>
      <c r="D21" s="16" t="s">
        <v>41</v>
      </c>
      <c r="E21" s="16" t="s">
        <v>69</v>
      </c>
      <c r="F21" s="16" t="s">
        <v>43</v>
      </c>
      <c r="G21" s="17" t="s">
        <v>17</v>
      </c>
      <c r="H21" s="17" t="s">
        <v>54</v>
      </c>
      <c r="I21" s="17" t="s">
        <v>19</v>
      </c>
      <c r="J21" s="16" t="s">
        <v>55</v>
      </c>
    </row>
    <row r="22" ht="62" customHeight="1" spans="1:10">
      <c r="A22" s="15">
        <v>19</v>
      </c>
      <c r="B22" s="16" t="s">
        <v>70</v>
      </c>
      <c r="C22" s="16" t="s">
        <v>51</v>
      </c>
      <c r="D22" s="16" t="s">
        <v>48</v>
      </c>
      <c r="E22" s="16" t="s">
        <v>71</v>
      </c>
      <c r="F22" s="16" t="s">
        <v>27</v>
      </c>
      <c r="G22" s="17" t="s">
        <v>17</v>
      </c>
      <c r="H22" s="17" t="s">
        <v>54</v>
      </c>
      <c r="I22" s="17" t="s">
        <v>19</v>
      </c>
      <c r="J22" s="16" t="s">
        <v>55</v>
      </c>
    </row>
    <row r="23" ht="62" customHeight="1" spans="1:10">
      <c r="A23" s="15">
        <v>20</v>
      </c>
      <c r="B23" s="16" t="s">
        <v>72</v>
      </c>
      <c r="C23" s="16" t="s">
        <v>73</v>
      </c>
      <c r="D23" s="16" t="s">
        <v>38</v>
      </c>
      <c r="E23" s="16" t="s">
        <v>74</v>
      </c>
      <c r="F23" s="16" t="s">
        <v>43</v>
      </c>
      <c r="G23" s="17" t="s">
        <v>17</v>
      </c>
      <c r="H23" s="17" t="s">
        <v>75</v>
      </c>
      <c r="I23" s="17" t="s">
        <v>19</v>
      </c>
      <c r="J23" s="16" t="s">
        <v>76</v>
      </c>
    </row>
    <row r="24" ht="62" customHeight="1" spans="1:10">
      <c r="A24" s="15">
        <v>21</v>
      </c>
      <c r="B24" s="16" t="s">
        <v>77</v>
      </c>
      <c r="C24" s="16" t="s">
        <v>73</v>
      </c>
      <c r="D24" s="16" t="s">
        <v>38</v>
      </c>
      <c r="E24" s="16" t="s">
        <v>78</v>
      </c>
      <c r="F24" s="16" t="s">
        <v>16</v>
      </c>
      <c r="G24" s="17" t="s">
        <v>17</v>
      </c>
      <c r="H24" s="17" t="s">
        <v>75</v>
      </c>
      <c r="I24" s="17" t="s">
        <v>19</v>
      </c>
      <c r="J24" s="16" t="s">
        <v>76</v>
      </c>
    </row>
    <row r="25" ht="62" customHeight="1" spans="1:10">
      <c r="A25" s="15">
        <v>22</v>
      </c>
      <c r="B25" s="16" t="s">
        <v>79</v>
      </c>
      <c r="C25" s="16" t="s">
        <v>73</v>
      </c>
      <c r="D25" s="16" t="s">
        <v>80</v>
      </c>
      <c r="E25" s="16" t="s">
        <v>81</v>
      </c>
      <c r="F25" s="16" t="s">
        <v>31</v>
      </c>
      <c r="G25" s="17" t="s">
        <v>17</v>
      </c>
      <c r="H25" s="17" t="s">
        <v>75</v>
      </c>
      <c r="I25" s="17" t="s">
        <v>19</v>
      </c>
      <c r="J25" s="16" t="s">
        <v>76</v>
      </c>
    </row>
    <row r="26" ht="62" customHeight="1" spans="1:10">
      <c r="A26" s="15">
        <v>23</v>
      </c>
      <c r="B26" s="16" t="s">
        <v>82</v>
      </c>
      <c r="C26" s="16" t="s">
        <v>73</v>
      </c>
      <c r="D26" s="16" t="s">
        <v>41</v>
      </c>
      <c r="E26" s="16" t="s">
        <v>83</v>
      </c>
      <c r="F26" s="16" t="s">
        <v>43</v>
      </c>
      <c r="G26" s="17" t="s">
        <v>17</v>
      </c>
      <c r="H26" s="17" t="s">
        <v>75</v>
      </c>
      <c r="I26" s="17" t="s">
        <v>19</v>
      </c>
      <c r="J26" s="16" t="s">
        <v>76</v>
      </c>
    </row>
    <row r="27" ht="62" customHeight="1" spans="1:10">
      <c r="A27" s="15">
        <v>24</v>
      </c>
      <c r="B27" s="16" t="s">
        <v>84</v>
      </c>
      <c r="C27" s="16" t="s">
        <v>85</v>
      </c>
      <c r="D27" s="16" t="s">
        <v>86</v>
      </c>
      <c r="E27" s="16" t="s">
        <v>87</v>
      </c>
      <c r="F27" s="16" t="s">
        <v>31</v>
      </c>
      <c r="G27" s="17" t="s">
        <v>17</v>
      </c>
      <c r="H27" s="17" t="s">
        <v>88</v>
      </c>
      <c r="I27" s="17" t="s">
        <v>19</v>
      </c>
      <c r="J27" s="16" t="s">
        <v>89</v>
      </c>
    </row>
    <row r="28" ht="62" customHeight="1" spans="1:10">
      <c r="A28" s="15">
        <v>25</v>
      </c>
      <c r="B28" s="16" t="s">
        <v>90</v>
      </c>
      <c r="C28" s="16" t="s">
        <v>85</v>
      </c>
      <c r="D28" s="16" t="s">
        <v>86</v>
      </c>
      <c r="E28" s="16" t="s">
        <v>91</v>
      </c>
      <c r="F28" s="16" t="s">
        <v>31</v>
      </c>
      <c r="G28" s="17" t="s">
        <v>17</v>
      </c>
      <c r="H28" s="17" t="s">
        <v>88</v>
      </c>
      <c r="I28" s="17" t="s">
        <v>19</v>
      </c>
      <c r="J28" s="16" t="s">
        <v>89</v>
      </c>
    </row>
    <row r="29" ht="62" customHeight="1" spans="1:10">
      <c r="A29" s="15">
        <v>26</v>
      </c>
      <c r="B29" s="16" t="s">
        <v>92</v>
      </c>
      <c r="C29" s="16" t="s">
        <v>85</v>
      </c>
      <c r="D29" s="16" t="s">
        <v>86</v>
      </c>
      <c r="E29" s="16" t="s">
        <v>93</v>
      </c>
      <c r="F29" s="16" t="s">
        <v>31</v>
      </c>
      <c r="G29" s="17" t="s">
        <v>17</v>
      </c>
      <c r="H29" s="17" t="s">
        <v>88</v>
      </c>
      <c r="I29" s="17" t="s">
        <v>19</v>
      </c>
      <c r="J29" s="16" t="s">
        <v>89</v>
      </c>
    </row>
    <row r="30" ht="62" customHeight="1" spans="1:10">
      <c r="A30" s="15">
        <v>27</v>
      </c>
      <c r="B30" s="16" t="s">
        <v>94</v>
      </c>
      <c r="C30" s="16" t="s">
        <v>85</v>
      </c>
      <c r="D30" s="16" t="s">
        <v>86</v>
      </c>
      <c r="E30" s="16" t="s">
        <v>95</v>
      </c>
      <c r="F30" s="16" t="s">
        <v>31</v>
      </c>
      <c r="G30" s="17" t="s">
        <v>17</v>
      </c>
      <c r="H30" s="17" t="s">
        <v>88</v>
      </c>
      <c r="I30" s="17" t="s">
        <v>19</v>
      </c>
      <c r="J30" s="16" t="s">
        <v>89</v>
      </c>
    </row>
    <row r="31" ht="62" customHeight="1" spans="1:10">
      <c r="A31" s="15">
        <v>28</v>
      </c>
      <c r="B31" s="16" t="s">
        <v>96</v>
      </c>
      <c r="C31" s="16" t="s">
        <v>85</v>
      </c>
      <c r="D31" s="16" t="s">
        <v>86</v>
      </c>
      <c r="E31" s="16" t="s">
        <v>97</v>
      </c>
      <c r="F31" s="16" t="s">
        <v>31</v>
      </c>
      <c r="G31" s="17" t="s">
        <v>17</v>
      </c>
      <c r="H31" s="17" t="s">
        <v>88</v>
      </c>
      <c r="I31" s="17" t="s">
        <v>19</v>
      </c>
      <c r="J31" s="16" t="s">
        <v>89</v>
      </c>
    </row>
    <row r="32" ht="62" customHeight="1" spans="1:10">
      <c r="A32" s="15">
        <v>29</v>
      </c>
      <c r="B32" s="16" t="s">
        <v>98</v>
      </c>
      <c r="C32" s="16" t="s">
        <v>99</v>
      </c>
      <c r="D32" s="16" t="s">
        <v>41</v>
      </c>
      <c r="E32" s="16" t="s">
        <v>100</v>
      </c>
      <c r="F32" s="16" t="s">
        <v>31</v>
      </c>
      <c r="G32" s="17" t="s">
        <v>17</v>
      </c>
      <c r="H32" s="17" t="s">
        <v>88</v>
      </c>
      <c r="I32" s="17" t="s">
        <v>19</v>
      </c>
      <c r="J32" s="16" t="s">
        <v>101</v>
      </c>
    </row>
    <row r="33" ht="62" customHeight="1" spans="1:10">
      <c r="A33" s="15">
        <v>30</v>
      </c>
      <c r="B33" s="16" t="s">
        <v>102</v>
      </c>
      <c r="C33" s="16" t="s">
        <v>99</v>
      </c>
      <c r="D33" s="16" t="s">
        <v>41</v>
      </c>
      <c r="E33" s="16" t="s">
        <v>103</v>
      </c>
      <c r="F33" s="16" t="s">
        <v>43</v>
      </c>
      <c r="G33" s="17" t="s">
        <v>17</v>
      </c>
      <c r="H33" s="17" t="s">
        <v>88</v>
      </c>
      <c r="I33" s="17" t="s">
        <v>19</v>
      </c>
      <c r="J33" s="16" t="s">
        <v>101</v>
      </c>
    </row>
    <row r="34" ht="62" customHeight="1" spans="1:10">
      <c r="A34" s="15">
        <v>31</v>
      </c>
      <c r="B34" s="16" t="s">
        <v>104</v>
      </c>
      <c r="C34" s="16" t="s">
        <v>99</v>
      </c>
      <c r="D34" s="16" t="s">
        <v>105</v>
      </c>
      <c r="E34" s="16" t="s">
        <v>106</v>
      </c>
      <c r="F34" s="16" t="s">
        <v>31</v>
      </c>
      <c r="G34" s="17" t="s">
        <v>17</v>
      </c>
      <c r="H34" s="17" t="s">
        <v>88</v>
      </c>
      <c r="I34" s="17" t="s">
        <v>19</v>
      </c>
      <c r="J34" s="16" t="s">
        <v>101</v>
      </c>
    </row>
    <row r="35" ht="62" customHeight="1" spans="1:10">
      <c r="A35" s="15">
        <v>32</v>
      </c>
      <c r="B35" s="16" t="s">
        <v>107</v>
      </c>
      <c r="C35" s="16" t="s">
        <v>99</v>
      </c>
      <c r="D35" s="16" t="s">
        <v>105</v>
      </c>
      <c r="E35" s="16" t="s">
        <v>108</v>
      </c>
      <c r="F35" s="16" t="s">
        <v>31</v>
      </c>
      <c r="G35" s="17" t="s">
        <v>17</v>
      </c>
      <c r="H35" s="17" t="s">
        <v>88</v>
      </c>
      <c r="I35" s="17" t="s">
        <v>19</v>
      </c>
      <c r="J35" s="16" t="s">
        <v>101</v>
      </c>
    </row>
    <row r="36" ht="62" customHeight="1" spans="1:10">
      <c r="A36" s="15">
        <v>33</v>
      </c>
      <c r="B36" s="16" t="s">
        <v>109</v>
      </c>
      <c r="C36" s="16" t="s">
        <v>99</v>
      </c>
      <c r="D36" s="16" t="s">
        <v>110</v>
      </c>
      <c r="E36" s="16" t="s">
        <v>111</v>
      </c>
      <c r="F36" s="16" t="s">
        <v>43</v>
      </c>
      <c r="G36" s="17" t="s">
        <v>17</v>
      </c>
      <c r="H36" s="17" t="s">
        <v>88</v>
      </c>
      <c r="I36" s="17" t="s">
        <v>19</v>
      </c>
      <c r="J36" s="16" t="s">
        <v>101</v>
      </c>
    </row>
    <row r="37" ht="62" customHeight="1" spans="1:10">
      <c r="A37" s="15">
        <v>34</v>
      </c>
      <c r="B37" s="16" t="s">
        <v>112</v>
      </c>
      <c r="C37" s="16" t="s">
        <v>113</v>
      </c>
      <c r="D37" s="16" t="s">
        <v>38</v>
      </c>
      <c r="E37" s="16" t="s">
        <v>114</v>
      </c>
      <c r="F37" s="16" t="s">
        <v>16</v>
      </c>
      <c r="G37" s="17" t="s">
        <v>17</v>
      </c>
      <c r="H37" s="17" t="s">
        <v>115</v>
      </c>
      <c r="I37" s="17" t="s">
        <v>19</v>
      </c>
      <c r="J37" s="16" t="s">
        <v>116</v>
      </c>
    </row>
    <row r="38" ht="62" customHeight="1" spans="1:10">
      <c r="A38" s="15">
        <v>35</v>
      </c>
      <c r="B38" s="16" t="s">
        <v>117</v>
      </c>
      <c r="C38" s="16" t="s">
        <v>113</v>
      </c>
      <c r="D38" s="16" t="s">
        <v>38</v>
      </c>
      <c r="E38" s="16" t="s">
        <v>118</v>
      </c>
      <c r="F38" s="16" t="s">
        <v>16</v>
      </c>
      <c r="G38" s="17" t="s">
        <v>17</v>
      </c>
      <c r="H38" s="17" t="s">
        <v>115</v>
      </c>
      <c r="I38" s="17" t="s">
        <v>19</v>
      </c>
      <c r="J38" s="16" t="s">
        <v>116</v>
      </c>
    </row>
    <row r="39" ht="62" customHeight="1" spans="1:10">
      <c r="A39" s="15">
        <v>36</v>
      </c>
      <c r="B39" s="16" t="s">
        <v>119</v>
      </c>
      <c r="C39" s="16" t="s">
        <v>113</v>
      </c>
      <c r="D39" s="16" t="s">
        <v>38</v>
      </c>
      <c r="E39" s="16" t="s">
        <v>120</v>
      </c>
      <c r="F39" s="16" t="s">
        <v>43</v>
      </c>
      <c r="G39" s="17" t="s">
        <v>17</v>
      </c>
      <c r="H39" s="17" t="s">
        <v>115</v>
      </c>
      <c r="I39" s="17" t="s">
        <v>19</v>
      </c>
      <c r="J39" s="16" t="s">
        <v>116</v>
      </c>
    </row>
    <row r="40" ht="62" customHeight="1" spans="1:10">
      <c r="A40" s="15">
        <v>37</v>
      </c>
      <c r="B40" s="16" t="s">
        <v>121</v>
      </c>
      <c r="C40" s="16" t="s">
        <v>113</v>
      </c>
      <c r="D40" s="16" t="s">
        <v>122</v>
      </c>
      <c r="E40" s="16" t="s">
        <v>123</v>
      </c>
      <c r="F40" s="16" t="s">
        <v>16</v>
      </c>
      <c r="G40" s="17" t="s">
        <v>17</v>
      </c>
      <c r="H40" s="17" t="s">
        <v>115</v>
      </c>
      <c r="I40" s="17" t="s">
        <v>19</v>
      </c>
      <c r="J40" s="16" t="s">
        <v>116</v>
      </c>
    </row>
    <row r="41" ht="62" customHeight="1" spans="1:10">
      <c r="A41" s="15">
        <v>38</v>
      </c>
      <c r="B41" s="16" t="s">
        <v>124</v>
      </c>
      <c r="C41" s="16" t="s">
        <v>113</v>
      </c>
      <c r="D41" s="16" t="s">
        <v>38</v>
      </c>
      <c r="E41" s="16" t="s">
        <v>125</v>
      </c>
      <c r="F41" s="16" t="s">
        <v>16</v>
      </c>
      <c r="G41" s="17" t="s">
        <v>17</v>
      </c>
      <c r="H41" s="17" t="s">
        <v>115</v>
      </c>
      <c r="I41" s="17" t="s">
        <v>19</v>
      </c>
      <c r="J41" s="16" t="s">
        <v>116</v>
      </c>
    </row>
    <row r="42" ht="62" customHeight="1" spans="1:10">
      <c r="A42" s="15">
        <v>39</v>
      </c>
      <c r="B42" s="16" t="s">
        <v>126</v>
      </c>
      <c r="C42" s="16" t="s">
        <v>113</v>
      </c>
      <c r="D42" s="16" t="s">
        <v>122</v>
      </c>
      <c r="E42" s="16" t="s">
        <v>127</v>
      </c>
      <c r="F42" s="16" t="s">
        <v>16</v>
      </c>
      <c r="G42" s="17" t="s">
        <v>17</v>
      </c>
      <c r="H42" s="17" t="s">
        <v>115</v>
      </c>
      <c r="I42" s="17" t="s">
        <v>19</v>
      </c>
      <c r="J42" s="16" t="s">
        <v>116</v>
      </c>
    </row>
    <row r="43" ht="62" customHeight="1" spans="1:10">
      <c r="A43" s="15">
        <v>40</v>
      </c>
      <c r="B43" s="16" t="s">
        <v>128</v>
      </c>
      <c r="C43" s="16" t="s">
        <v>113</v>
      </c>
      <c r="D43" s="16" t="s">
        <v>128</v>
      </c>
      <c r="E43" s="16" t="s">
        <v>129</v>
      </c>
      <c r="F43" s="16" t="s">
        <v>43</v>
      </c>
      <c r="G43" s="17" t="s">
        <v>17</v>
      </c>
      <c r="H43" s="17" t="s">
        <v>115</v>
      </c>
      <c r="I43" s="17" t="s">
        <v>19</v>
      </c>
      <c r="J43" s="16" t="s">
        <v>116</v>
      </c>
    </row>
    <row r="44" ht="62" customHeight="1" spans="1:10">
      <c r="A44" s="15">
        <v>41</v>
      </c>
      <c r="B44" s="16" t="s">
        <v>130</v>
      </c>
      <c r="C44" s="16" t="s">
        <v>113</v>
      </c>
      <c r="D44" s="16" t="s">
        <v>131</v>
      </c>
      <c r="E44" s="16" t="s">
        <v>132</v>
      </c>
      <c r="F44" s="16" t="s">
        <v>16</v>
      </c>
      <c r="G44" s="17" t="s">
        <v>17</v>
      </c>
      <c r="H44" s="17" t="s">
        <v>115</v>
      </c>
      <c r="I44" s="17" t="s">
        <v>19</v>
      </c>
      <c r="J44" s="16" t="s">
        <v>116</v>
      </c>
    </row>
    <row r="45" ht="62" customHeight="1" spans="1:10">
      <c r="A45" s="15">
        <v>42</v>
      </c>
      <c r="B45" s="16" t="s">
        <v>128</v>
      </c>
      <c r="C45" s="16" t="s">
        <v>113</v>
      </c>
      <c r="D45" s="16" t="s">
        <v>128</v>
      </c>
      <c r="E45" s="16" t="s">
        <v>133</v>
      </c>
      <c r="F45" s="16" t="s">
        <v>43</v>
      </c>
      <c r="G45" s="17" t="s">
        <v>17</v>
      </c>
      <c r="H45" s="17" t="s">
        <v>115</v>
      </c>
      <c r="I45" s="17" t="s">
        <v>19</v>
      </c>
      <c r="J45" s="16" t="s">
        <v>116</v>
      </c>
    </row>
    <row r="46" ht="62" customHeight="1" spans="1:10">
      <c r="A46" s="15">
        <v>43</v>
      </c>
      <c r="B46" s="16" t="s">
        <v>134</v>
      </c>
      <c r="C46" s="16" t="s">
        <v>113</v>
      </c>
      <c r="D46" s="16" t="s">
        <v>135</v>
      </c>
      <c r="E46" s="16" t="s">
        <v>136</v>
      </c>
      <c r="F46" s="16" t="s">
        <v>16</v>
      </c>
      <c r="G46" s="17" t="s">
        <v>17</v>
      </c>
      <c r="H46" s="17" t="s">
        <v>115</v>
      </c>
      <c r="I46" s="17" t="s">
        <v>19</v>
      </c>
      <c r="J46" s="16" t="s">
        <v>116</v>
      </c>
    </row>
    <row r="47" ht="62" customHeight="1" spans="1:10">
      <c r="A47" s="15">
        <v>44</v>
      </c>
      <c r="B47" s="16" t="s">
        <v>137</v>
      </c>
      <c r="C47" s="16" t="s">
        <v>113</v>
      </c>
      <c r="D47" s="16" t="s">
        <v>45</v>
      </c>
      <c r="E47" s="16" t="s">
        <v>138</v>
      </c>
      <c r="F47" s="16" t="s">
        <v>27</v>
      </c>
      <c r="G47" s="17" t="s">
        <v>17</v>
      </c>
      <c r="H47" s="17" t="s">
        <v>115</v>
      </c>
      <c r="I47" s="17" t="s">
        <v>19</v>
      </c>
      <c r="J47" s="16" t="s">
        <v>116</v>
      </c>
    </row>
    <row r="48" ht="62" customHeight="1" spans="1:10">
      <c r="A48" s="15">
        <v>45</v>
      </c>
      <c r="B48" s="16" t="s">
        <v>139</v>
      </c>
      <c r="C48" s="16" t="s">
        <v>140</v>
      </c>
      <c r="D48" s="16" t="s">
        <v>41</v>
      </c>
      <c r="E48" s="16" t="s">
        <v>141</v>
      </c>
      <c r="F48" s="16" t="s">
        <v>43</v>
      </c>
      <c r="G48" s="17" t="s">
        <v>17</v>
      </c>
      <c r="H48" s="17" t="s">
        <v>115</v>
      </c>
      <c r="I48" s="17" t="s">
        <v>19</v>
      </c>
      <c r="J48" s="16" t="s">
        <v>142</v>
      </c>
    </row>
    <row r="49" ht="62" customHeight="1" spans="1:10">
      <c r="A49" s="15">
        <v>46</v>
      </c>
      <c r="B49" s="16" t="s">
        <v>143</v>
      </c>
      <c r="C49" s="16" t="s">
        <v>140</v>
      </c>
      <c r="D49" s="16" t="s">
        <v>41</v>
      </c>
      <c r="E49" s="16" t="s">
        <v>144</v>
      </c>
      <c r="F49" s="16" t="s">
        <v>31</v>
      </c>
      <c r="G49" s="17" t="s">
        <v>17</v>
      </c>
      <c r="H49" s="17" t="s">
        <v>115</v>
      </c>
      <c r="I49" s="17" t="s">
        <v>19</v>
      </c>
      <c r="J49" s="16" t="s">
        <v>142</v>
      </c>
    </row>
    <row r="50" ht="62" customHeight="1" spans="1:10">
      <c r="A50" s="15">
        <v>47</v>
      </c>
      <c r="B50" s="16" t="s">
        <v>145</v>
      </c>
      <c r="C50" s="16" t="s">
        <v>140</v>
      </c>
      <c r="D50" s="16" t="s">
        <v>146</v>
      </c>
      <c r="E50" s="16" t="s">
        <v>147</v>
      </c>
      <c r="F50" s="16" t="s">
        <v>31</v>
      </c>
      <c r="G50" s="17" t="s">
        <v>17</v>
      </c>
      <c r="H50" s="17" t="s">
        <v>115</v>
      </c>
      <c r="I50" s="17" t="s">
        <v>19</v>
      </c>
      <c r="J50" s="16" t="s">
        <v>142</v>
      </c>
    </row>
    <row r="51" ht="62" customHeight="1" spans="1:10">
      <c r="A51" s="15">
        <v>48</v>
      </c>
      <c r="B51" s="16" t="s">
        <v>148</v>
      </c>
      <c r="C51" s="16" t="s">
        <v>140</v>
      </c>
      <c r="D51" s="16" t="s">
        <v>45</v>
      </c>
      <c r="E51" s="16" t="s">
        <v>149</v>
      </c>
      <c r="F51" s="16" t="s">
        <v>27</v>
      </c>
      <c r="G51" s="17" t="s">
        <v>17</v>
      </c>
      <c r="H51" s="17" t="s">
        <v>115</v>
      </c>
      <c r="I51" s="17" t="s">
        <v>19</v>
      </c>
      <c r="J51" s="16" t="s">
        <v>142</v>
      </c>
    </row>
    <row r="52" ht="62" customHeight="1" spans="1:10">
      <c r="A52" s="15">
        <v>49</v>
      </c>
      <c r="B52" s="16" t="s">
        <v>150</v>
      </c>
      <c r="C52" s="16" t="s">
        <v>140</v>
      </c>
      <c r="D52" s="16" t="s">
        <v>45</v>
      </c>
      <c r="E52" s="16" t="s">
        <v>151</v>
      </c>
      <c r="F52" s="16" t="s">
        <v>27</v>
      </c>
      <c r="G52" s="17" t="s">
        <v>17</v>
      </c>
      <c r="H52" s="17" t="s">
        <v>115</v>
      </c>
      <c r="I52" s="17" t="s">
        <v>19</v>
      </c>
      <c r="J52" s="16" t="s">
        <v>142</v>
      </c>
    </row>
    <row r="53" ht="62" customHeight="1" spans="1:10">
      <c r="A53" s="15">
        <v>50</v>
      </c>
      <c r="B53" s="16" t="s">
        <v>152</v>
      </c>
      <c r="C53" s="16" t="s">
        <v>140</v>
      </c>
      <c r="D53" s="16" t="s">
        <v>45</v>
      </c>
      <c r="E53" s="16" t="s">
        <v>153</v>
      </c>
      <c r="F53" s="16" t="s">
        <v>31</v>
      </c>
      <c r="G53" s="17" t="s">
        <v>17</v>
      </c>
      <c r="H53" s="17" t="s">
        <v>115</v>
      </c>
      <c r="I53" s="17" t="s">
        <v>19</v>
      </c>
      <c r="J53" s="16" t="s">
        <v>142</v>
      </c>
    </row>
  </sheetData>
  <mergeCells count="4">
    <mergeCell ref="A1:C1"/>
    <mergeCell ref="A1:J1"/>
    <mergeCell ref="A2:F2"/>
    <mergeCell ref="A2:J2"/>
  </mergeCells>
  <conditionalFormatting sqref="G4:G53">
    <cfRule type="expression" dxfId="10" priority="1">
      <formula>G4="To Do"</formula>
    </cfRule>
    <cfRule type="expression" dxfId="11" priority="2">
      <formula>G4="Doing"</formula>
    </cfRule>
    <cfRule type="expression" dxfId="12" priority="3">
      <formula>G4="Done"</formula>
    </cfRule>
    <cfRule type="expression" dxfId="13" priority="4">
      <formula>G4="Updated"</formula>
    </cfRule>
    <cfRule type="expression" dxfId="14" priority="5">
      <formula>G4="Blocked"</formula>
    </cfRule>
  </conditionalFormatting>
  <dataValidations count="3">
    <dataValidation type="list" sqref="F4:F53">
      <formula1>Lists!$C$2:$C$5</formula1>
    </dataValidation>
    <dataValidation type="list" sqref="G4:G53">
      <formula1>Lists!$A$2:$A$6</formula1>
    </dataValidation>
    <dataValidation type="list" sqref="H4:H53 I4:I53">
      <formula1>Lists!$B$2:$B$7</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3.2" outlineLevelRow="7" outlineLevelCol="4"/>
  <cols>
    <col min="1" max="5" width="32" customWidth="1"/>
  </cols>
  <sheetData>
    <row r="1" spans="1:5">
      <c r="A1" s="5" t="s">
        <v>8</v>
      </c>
      <c r="B1" s="5" t="s">
        <v>154</v>
      </c>
      <c r="C1" s="5" t="s">
        <v>155</v>
      </c>
      <c r="D1" s="5" t="s">
        <v>4</v>
      </c>
      <c r="E1" s="5" t="s">
        <v>156</v>
      </c>
    </row>
    <row r="2" ht="26.4" spans="1:5">
      <c r="A2" s="7" t="s">
        <v>17</v>
      </c>
      <c r="B2" s="7" t="s">
        <v>18</v>
      </c>
      <c r="C2" s="7" t="s">
        <v>27</v>
      </c>
      <c r="D2" s="7" t="s">
        <v>13</v>
      </c>
      <c r="E2" s="7" t="s">
        <v>157</v>
      </c>
    </row>
    <row r="3" ht="26.4" spans="1:5">
      <c r="A3" s="7" t="s">
        <v>158</v>
      </c>
      <c r="B3" s="7" t="s">
        <v>54</v>
      </c>
      <c r="C3" s="7" t="s">
        <v>31</v>
      </c>
      <c r="D3" s="7" t="s">
        <v>51</v>
      </c>
      <c r="E3" s="7"/>
    </row>
    <row r="4" spans="1:5">
      <c r="A4" s="7" t="s">
        <v>159</v>
      </c>
      <c r="B4" s="7" t="s">
        <v>75</v>
      </c>
      <c r="C4" s="7" t="s">
        <v>43</v>
      </c>
      <c r="D4" s="7" t="s">
        <v>73</v>
      </c>
      <c r="E4" s="7"/>
    </row>
    <row r="5" spans="1:5">
      <c r="A5" s="7" t="s">
        <v>10</v>
      </c>
      <c r="B5" s="7" t="s">
        <v>88</v>
      </c>
      <c r="C5" s="7" t="s">
        <v>16</v>
      </c>
      <c r="D5" s="7" t="s">
        <v>85</v>
      </c>
      <c r="E5" s="7"/>
    </row>
    <row r="6" spans="1:5">
      <c r="A6" s="7" t="s">
        <v>160</v>
      </c>
      <c r="B6" s="7" t="s">
        <v>115</v>
      </c>
      <c r="C6" s="7"/>
      <c r="D6" s="7" t="s">
        <v>99</v>
      </c>
      <c r="E6" s="7"/>
    </row>
    <row r="7" spans="1:5">
      <c r="A7" s="7"/>
      <c r="B7" s="7" t="s">
        <v>19</v>
      </c>
      <c r="C7" s="7"/>
      <c r="D7" s="7" t="s">
        <v>113</v>
      </c>
      <c r="E7" s="7"/>
    </row>
    <row r="8" spans="1:5">
      <c r="A8" s="7"/>
      <c r="B8" s="7"/>
      <c r="C8" s="7"/>
      <c r="D8" s="7" t="s">
        <v>140</v>
      </c>
      <c r="E8" s="7"/>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workbookViewId="0">
      <selection activeCell="H9" sqref="H9"/>
    </sheetView>
  </sheetViews>
  <sheetFormatPr defaultColWidth="9" defaultRowHeight="13.2"/>
  <cols>
    <col min="1" max="1" width="34" customWidth="1"/>
    <col min="2" max="4" width="12" customWidth="1"/>
    <col min="5" max="5" width="15" customWidth="1"/>
    <col min="6" max="7" width="12" customWidth="1"/>
    <col min="8" max="8" width="20" customWidth="1"/>
    <col min="9" max="9" width="10" customWidth="1"/>
    <col min="10" max="10" width="12" customWidth="1"/>
  </cols>
  <sheetData>
    <row r="1" ht="28" customHeight="1" spans="1:10">
      <c r="A1" s="1" t="s">
        <v>161</v>
      </c>
      <c r="B1" s="1"/>
      <c r="C1" s="1"/>
      <c r="D1" s="1"/>
      <c r="E1" s="1"/>
      <c r="F1" s="1"/>
      <c r="G1" s="1"/>
      <c r="H1" s="1"/>
      <c r="I1" s="1"/>
      <c r="J1" s="1"/>
    </row>
    <row r="2" spans="1:10">
      <c r="A2" s="2" t="s">
        <v>162</v>
      </c>
      <c r="B2" s="2"/>
      <c r="C2" s="2"/>
      <c r="D2" s="2"/>
      <c r="E2" s="2"/>
      <c r="F2" s="2"/>
      <c r="G2" s="2"/>
      <c r="H2" s="2"/>
      <c r="I2" s="2"/>
      <c r="J2" s="2"/>
    </row>
    <row r="4" spans="1:10">
      <c r="A4" s="3" t="s">
        <v>163</v>
      </c>
      <c r="B4" s="3" t="s">
        <v>164</v>
      </c>
      <c r="D4" s="3" t="s">
        <v>8</v>
      </c>
      <c r="E4" s="3" t="s">
        <v>165</v>
      </c>
      <c r="G4" s="3" t="s">
        <v>154</v>
      </c>
      <c r="H4" s="3" t="s">
        <v>165</v>
      </c>
    </row>
    <row r="5" spans="1:10">
      <c r="A5" s="4" t="s">
        <v>166</v>
      </c>
      <c r="B5" s="4">
        <f>COUNTA('Project Tracking'!B4:B53)</f>
        <v>50</v>
      </c>
      <c r="D5" s="4" t="s">
        <v>17</v>
      </c>
      <c r="E5" s="4">
        <f>COUNTIF('Project Tracking'!G4:G53,"To Do")</f>
        <v>50</v>
      </c>
      <c r="G5" s="4" t="s">
        <v>18</v>
      </c>
      <c r="H5" s="4">
        <f>COUNTIF('Project Tracking'!H4:H53,"iter1")</f>
        <v>10</v>
      </c>
    </row>
    <row r="6" spans="1:10">
      <c r="A6" s="4" t="s">
        <v>167</v>
      </c>
      <c r="B6" s="4">
        <f>COUNTA(Lists!D2:D8)</f>
        <v>7</v>
      </c>
      <c r="D6" s="4" t="s">
        <v>158</v>
      </c>
      <c r="E6" s="4">
        <f>COUNTIF('Project Tracking'!G4:G53,"Doing")</f>
        <v>0</v>
      </c>
      <c r="G6" s="4" t="s">
        <v>54</v>
      </c>
      <c r="H6" s="4">
        <f>COUNTIF('Project Tracking'!H4:H53,"iter2")</f>
        <v>9</v>
      </c>
    </row>
    <row r="7" spans="1:10">
      <c r="A7" s="4" t="s">
        <v>168</v>
      </c>
      <c r="B7" s="4">
        <f>COUNTA(Lists!C2:C5)</f>
        <v>4</v>
      </c>
      <c r="D7" s="4" t="s">
        <v>159</v>
      </c>
      <c r="E7" s="4">
        <f>COUNTIF('Project Tracking'!G4:G53,"Done")</f>
        <v>0</v>
      </c>
      <c r="G7" s="4" t="s">
        <v>75</v>
      </c>
      <c r="H7" s="4">
        <f>COUNTIF('Project Tracking'!H4:H53,"iter3")</f>
        <v>4</v>
      </c>
    </row>
    <row r="8" spans="1:10">
      <c r="A8" s="4" t="s">
        <v>128</v>
      </c>
      <c r="B8" s="4"/>
      <c r="D8" s="4" t="s">
        <v>10</v>
      </c>
      <c r="E8" s="4">
        <f>COUNTIF('Project Tracking'!G4:G53,"Updated")</f>
        <v>0</v>
      </c>
      <c r="G8" s="4" t="s">
        <v>88</v>
      </c>
      <c r="H8" s="4">
        <f>COUNTIF('Project Tracking'!H4:H53,"iter4")</f>
        <v>10</v>
      </c>
    </row>
    <row r="9" spans="1:10">
      <c r="A9" s="4" t="s">
        <v>128</v>
      </c>
      <c r="B9" s="4"/>
      <c r="D9" s="4" t="s">
        <v>160</v>
      </c>
      <c r="E9" s="4">
        <f>COUNTIF('Project Tracking'!G4:G53,"Blocked")</f>
        <v>0</v>
      </c>
      <c r="G9" s="4" t="s">
        <v>115</v>
      </c>
      <c r="H9" s="4">
        <f>COUNTIF('Project Tracking'!H4:H53,"iter5")</f>
        <v>17</v>
      </c>
    </row>
    <row r="11" spans="1:10">
      <c r="A11" s="5" t="s">
        <v>169</v>
      </c>
      <c r="B11" s="5"/>
      <c r="C11" s="5"/>
      <c r="D11" s="5"/>
      <c r="E11" s="5"/>
      <c r="F11" s="5"/>
      <c r="H11" s="5" t="s">
        <v>170</v>
      </c>
      <c r="I11" s="5"/>
      <c r="J11" s="5"/>
    </row>
    <row r="12" spans="1:10">
      <c r="A12" s="5" t="s">
        <v>4</v>
      </c>
      <c r="B12" s="5" t="s">
        <v>171</v>
      </c>
      <c r="C12" s="5" t="s">
        <v>17</v>
      </c>
      <c r="D12" s="5" t="s">
        <v>158</v>
      </c>
      <c r="E12" s="5" t="s">
        <v>172</v>
      </c>
      <c r="F12" s="5" t="s">
        <v>160</v>
      </c>
      <c r="H12" s="5" t="s">
        <v>155</v>
      </c>
      <c r="I12" s="5" t="s">
        <v>173</v>
      </c>
      <c r="J12" s="5" t="s">
        <v>174</v>
      </c>
    </row>
    <row r="13" spans="1:10">
      <c r="A13" s="4" t="s">
        <v>13</v>
      </c>
      <c r="B13" s="4">
        <f>COUNTIF('Project Tracking'!$C$4:$C$53,A13)</f>
        <v>10</v>
      </c>
      <c r="C13" s="4">
        <f>COUNTIFS('Project Tracking'!$C$4:$C$53,A13,'Project Tracking'!$G$4:$G$53,"To Do")</f>
        <v>10</v>
      </c>
      <c r="D13" s="4">
        <f>COUNTIFS('Project Tracking'!$C$4:$C$53,A13,'Project Tracking'!$G$4:$G$53,"Doing")</f>
        <v>0</v>
      </c>
      <c r="E13" s="4">
        <f>COUNTIFS('Project Tracking'!$C$4:$C$53,A13,'Project Tracking'!$G$4:$G$53,"Done")+COUNTIFS('Project Tracking'!$C$4:$C$53,A13,'Project Tracking'!$G$4:$G$53,"Updated")</f>
        <v>0</v>
      </c>
      <c r="F13" s="4">
        <f>COUNTIFS('Project Tracking'!$C$4:$C$53,A13,'Project Tracking'!$G$4:$G$53,"Blocked")</f>
        <v>0</v>
      </c>
      <c r="H13" s="4" t="s">
        <v>27</v>
      </c>
      <c r="I13" s="4">
        <f>COUNTIF('Project Tracking'!$F$4:$F$53,H13)</f>
        <v>10</v>
      </c>
      <c r="J13" s="6">
        <f>IFERROR(I13/$B$5,0)</f>
        <v>0.2</v>
      </c>
    </row>
    <row r="14" ht="26.4" spans="1:10">
      <c r="A14" s="4" t="s">
        <v>51</v>
      </c>
      <c r="B14" s="4">
        <f>COUNTIF('Project Tracking'!$C$4:$C$53,A14)</f>
        <v>9</v>
      </c>
      <c r="C14" s="4">
        <f>COUNTIFS('Project Tracking'!$C$4:$C$53,A14,'Project Tracking'!$G$4:$G$53,"To Do")</f>
        <v>9</v>
      </c>
      <c r="D14" s="4">
        <f>COUNTIFS('Project Tracking'!$C$4:$C$53,A14,'Project Tracking'!$G$4:$G$53,"Doing")</f>
        <v>0</v>
      </c>
      <c r="E14" s="4">
        <f>COUNTIFS('Project Tracking'!$C$4:$C$53,A14,'Project Tracking'!$G$4:$G$53,"Done")+COUNTIFS('Project Tracking'!$C$4:$C$53,A14,'Project Tracking'!$G$4:$G$53,"Updated")</f>
        <v>0</v>
      </c>
      <c r="F14" s="4">
        <f>COUNTIFS('Project Tracking'!$C$4:$C$53,A14,'Project Tracking'!$G$4:$G$53,"Blocked")</f>
        <v>0</v>
      </c>
      <c r="H14" s="4" t="s">
        <v>31</v>
      </c>
      <c r="I14" s="4">
        <f>COUNTIF('Project Tracking'!$F$4:$F$53,H14)</f>
        <v>13</v>
      </c>
      <c r="J14" s="6">
        <f>IFERROR(I14/$B$5,0)</f>
        <v>0.26</v>
      </c>
    </row>
    <row r="15" spans="1:10">
      <c r="A15" s="4" t="s">
        <v>73</v>
      </c>
      <c r="B15" s="4">
        <f>COUNTIF('Project Tracking'!$C$4:$C$53,A15)</f>
        <v>4</v>
      </c>
      <c r="C15" s="4">
        <f>COUNTIFS('Project Tracking'!$C$4:$C$53,A15,'Project Tracking'!$G$4:$G$53,"To Do")</f>
        <v>4</v>
      </c>
      <c r="D15" s="4">
        <f>COUNTIFS('Project Tracking'!$C$4:$C$53,A15,'Project Tracking'!$G$4:$G$53,"Doing")</f>
        <v>0</v>
      </c>
      <c r="E15" s="4">
        <f>COUNTIFS('Project Tracking'!$C$4:$C$53,A15,'Project Tracking'!$G$4:$G$53,"Done")+COUNTIFS('Project Tracking'!$C$4:$C$53,A15,'Project Tracking'!$G$4:$G$53,"Updated")</f>
        <v>0</v>
      </c>
      <c r="F15" s="4">
        <f>COUNTIFS('Project Tracking'!$C$4:$C$53,A15,'Project Tracking'!$G$4:$G$53,"Blocked")</f>
        <v>0</v>
      </c>
      <c r="H15" s="4" t="s">
        <v>43</v>
      </c>
      <c r="I15" s="4">
        <f>COUNTIF('Project Tracking'!$F$4:$F$53,H15)</f>
        <v>14</v>
      </c>
      <c r="J15" s="6">
        <f>IFERROR(I15/$B$5,0)</f>
        <v>0.28</v>
      </c>
    </row>
    <row r="16" spans="1:10">
      <c r="A16" s="4" t="s">
        <v>85</v>
      </c>
      <c r="B16" s="4">
        <f>COUNTIF('Project Tracking'!$C$4:$C$53,A16)</f>
        <v>5</v>
      </c>
      <c r="C16" s="4">
        <f>COUNTIFS('Project Tracking'!$C$4:$C$53,A16,'Project Tracking'!$G$4:$G$53,"To Do")</f>
        <v>5</v>
      </c>
      <c r="D16" s="4">
        <f>COUNTIFS('Project Tracking'!$C$4:$C$53,A16,'Project Tracking'!$G$4:$G$53,"Doing")</f>
        <v>0</v>
      </c>
      <c r="E16" s="4">
        <f>COUNTIFS('Project Tracking'!$C$4:$C$53,A16,'Project Tracking'!$G$4:$G$53,"Done")+COUNTIFS('Project Tracking'!$C$4:$C$53,A16,'Project Tracking'!$G$4:$G$53,"Updated")</f>
        <v>0</v>
      </c>
      <c r="F16" s="4">
        <f>COUNTIFS('Project Tracking'!$C$4:$C$53,A16,'Project Tracking'!$G$4:$G$53,"Blocked")</f>
        <v>0</v>
      </c>
      <c r="H16" s="4" t="s">
        <v>16</v>
      </c>
      <c r="I16" s="4">
        <f>COUNTIF('Project Tracking'!$F$4:$F$53,H16)</f>
        <v>13</v>
      </c>
      <c r="J16" s="6">
        <f>IFERROR(I16/$B$5,0)</f>
        <v>0.26</v>
      </c>
    </row>
    <row r="17" spans="1:10">
      <c r="A17" s="4" t="s">
        <v>99</v>
      </c>
      <c r="B17" s="4">
        <f>COUNTIF('Project Tracking'!$C$4:$C$53,A17)</f>
        <v>5</v>
      </c>
      <c r="C17" s="4">
        <f>COUNTIFS('Project Tracking'!$C$4:$C$53,A17,'Project Tracking'!$G$4:$G$53,"To Do")</f>
        <v>5</v>
      </c>
      <c r="D17" s="4">
        <f>COUNTIFS('Project Tracking'!$C$4:$C$53,A17,'Project Tracking'!$G$4:$G$53,"Doing")</f>
        <v>0</v>
      </c>
      <c r="E17" s="4">
        <f>COUNTIFS('Project Tracking'!$C$4:$C$53,A17,'Project Tracking'!$G$4:$G$53,"Done")+COUNTIFS('Project Tracking'!$C$4:$C$53,A17,'Project Tracking'!$G$4:$G$53,"Updated")</f>
        <v>0</v>
      </c>
      <c r="F17" s="4">
        <f>COUNTIFS('Project Tracking'!$C$4:$C$53,A17,'Project Tracking'!$G$4:$G$53,"Blocked")</f>
        <v>0</v>
      </c>
    </row>
    <row r="18" spans="1:10">
      <c r="A18" s="4" t="s">
        <v>113</v>
      </c>
      <c r="B18" s="4">
        <f>COUNTIF('Project Tracking'!$C$4:$C$53,A18)</f>
        <v>11</v>
      </c>
      <c r="C18" s="4">
        <f>COUNTIFS('Project Tracking'!$C$4:$C$53,A18,'Project Tracking'!$G$4:$G$53,"To Do")</f>
        <v>11</v>
      </c>
      <c r="D18" s="4">
        <f>COUNTIFS('Project Tracking'!$C$4:$C$53,A18,'Project Tracking'!$G$4:$G$53,"Doing")</f>
        <v>0</v>
      </c>
      <c r="E18" s="4">
        <f>COUNTIFS('Project Tracking'!$C$4:$C$53,A18,'Project Tracking'!$G$4:$G$53,"Done")+COUNTIFS('Project Tracking'!$C$4:$C$53,A18,'Project Tracking'!$G$4:$G$53,"Updated")</f>
        <v>0</v>
      </c>
      <c r="F18" s="4">
        <f>COUNTIFS('Project Tracking'!$C$4:$C$53,A18,'Project Tracking'!$G$4:$G$53,"Blocked")</f>
        <v>0</v>
      </c>
    </row>
    <row r="19" spans="1:10">
      <c r="A19" s="4" t="s">
        <v>140</v>
      </c>
      <c r="B19" s="4">
        <f>COUNTIF('Project Tracking'!$C$4:$C$53,A19)</f>
        <v>6</v>
      </c>
      <c r="C19" s="4">
        <f>COUNTIFS('Project Tracking'!$C$4:$C$53,A19,'Project Tracking'!$G$4:$G$53,"To Do")</f>
        <v>6</v>
      </c>
      <c r="D19" s="4">
        <f>COUNTIFS('Project Tracking'!$C$4:$C$53,A19,'Project Tracking'!$G$4:$G$53,"Doing")</f>
        <v>0</v>
      </c>
      <c r="E19" s="4">
        <f>COUNTIFS('Project Tracking'!$C$4:$C$53,A19,'Project Tracking'!$G$4:$G$53,"Done")+COUNTIFS('Project Tracking'!$C$4:$C$53,A19,'Project Tracking'!$G$4:$G$53,"Updated")</f>
        <v>0</v>
      </c>
      <c r="F19" s="4">
        <f>COUNTIFS('Project Tracking'!$C$4:$C$53,A19,'Project Tracking'!$G$4:$G$53,"Blocked")</f>
        <v>0</v>
      </c>
    </row>
    <row r="23" spans="1:10">
      <c r="H23" s="4"/>
      <c r="I23" s="4"/>
      <c r="J23" s="6"/>
    </row>
    <row r="24" spans="1:10">
      <c r="H24" s="4"/>
      <c r="I24" s="4"/>
      <c r="J24" s="6"/>
    </row>
    <row r="25" spans="1:10">
      <c r="H25" s="4"/>
      <c r="I25" s="4"/>
      <c r="J25" s="6"/>
    </row>
    <row r="26" spans="1:10">
      <c r="H26" s="4"/>
      <c r="I26" s="4"/>
      <c r="J26" s="6"/>
    </row>
  </sheetData>
  <mergeCells count="4">
    <mergeCell ref="A1:J1"/>
    <mergeCell ref="A2:J2"/>
    <mergeCell ref="A11:F11"/>
    <mergeCell ref="H11:J11"/>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Project Tracking</vt:lpstr>
      <vt:lpstr>Lists</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WPS_1708593444</cp:lastModifiedBy>
  <dcterms:created xsi:type="dcterms:W3CDTF">2026-05-25T02:58:29Z</dcterms:created>
  <dcterms:modified xsi:type="dcterms:W3CDTF">2026-05-25T03:00:15Z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33F74FC53A5A4452845677625B543BC6_12</vt:lpwstr>
  </property>
  <property fmtid="{D5CDD505-2E9C-101B-9397-08002B2CF9AE}" pid="3" name="KSOProductBuildVer">
    <vt:lpwstr>1033-12.1.0.26372</vt:lpwstr>
  </property>
  <property fmtid="{D5CDD505-2E9C-101B-9397-08002B2CF9AE}" pid="4" name="CalculationRule">
    <vt:i4>0</vt:i4>
  </property>
</Properties>
</file>